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je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<sst xmlns="http://schemas.openxmlformats.org/spreadsheetml/2006/main" count="25" uniqueCount="25">
  <si>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SaaS Revenue Model — Assumptions</t>
  </si>
  <si>
    <t xml:space="preserve">Starting MRR (USD)</t>
  </si>
  <si>
    <t xml:space="preserve">Monthly growth rate</t>
  </si>
  <si>
    <t xml:space="preserve">Gross margin</t>
  </si>
  <si>
    <t xml:space="preserve">Monthly churn</t>
  </si>
  <si>
    <t xml:space="preserve">CAC per customer (USD)</t>
  </si>
  <si>
    <t xml:space="preserve">12-Month Projection</t>
  </si>
  <si>
    <t xml:space="preserve">Month</t>
  </si>
  <si>
    <t xml:space="preserve">MRR</t>
  </si>
  <si>
    <t xml:space="preserve">Revenue</t>
  </si>
  <si>
    <t xml:space="preserve">Gross Profit</t>
  </si>
  <si>
    <t xml:space="preserve">GP Margin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</si>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</sst>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CCFFCC"/>
      </patternFill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 t="n">
        <v>85000</v>
      </c>
    </row>
    <row r="4" customFormat="false" ht="15" hidden="false" customHeight="false" outlineLevel="0" collapsed="false">
      <c r="A4" s="2" t="s">
        <v>2</v>
      </c>
      <c r="B4" s="4" t="n">
        <v>0.06</v>
      </c>
    </row>
    <row r="5" customFormat="false" ht="15" hidden="false" customHeight="false" outlineLevel="0" collapsed="false">
      <c r="A5" s="2" t="s">
        <v>3</v>
      </c>
      <c r="B5" s="4" t="n">
        <v>0.78</v>
      </c>
    </row>
    <row r="6" customFormat="false" ht="15" hidden="false" customHeight="false" outlineLevel="0" collapsed="false">
      <c r="A6" s="2" t="s">
        <v>4</v>
      </c>
      <c r="B6" s="4" t="n">
        <v>0.021</v>
      </c>
    </row>
    <row r="7" customFormat="false" ht="15" hidden="false" customHeight="false" outlineLevel="0" collapsed="false">
      <c r="A7" s="2" t="s">
        <v>5</v>
      </c>
      <c r="B7" s="3" t="n">
        <v>1350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1" t="s">
        <v>6</v>
      </c>
      <c r="B1" s="1"/>
      <c r="C1" s="1"/>
      <c r="D1" s="1"/>
      <c r="E1" s="1"/>
    </row>
    <row r="3" customFormat="false" ht="25.5" hidden="false" customHeight="true" outlineLevel="0" collapsed="false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</row>
    <row r="4" customFormat="false" ht="15" hidden="false" customHeight="false" outlineLevel="0" collapsed="false">
      <c r="A4" s="6" t="s">
        <v>12</v>
      </c>
      <c r="B4" s="7" t="n">
        <f aca="false">Assumptions!$B$3</f>
        <v>85000</v>
      </c>
      <c r="C4" s="7" t="n">
        <f aca="false">B4</f>
        <v>85000</v>
      </c>
      <c r="D4" s="7" t="n">
        <f aca="false">C4*Assumptions!$B$5</f>
        <v>66300</v>
      </c>
      <c r="E4" s="8" t="n">
        <f aca="false">D4/C4</f>
        <v>0.78</v>
      </c>
    </row>
    <row r="5" customFormat="false" ht="15" hidden="false" customHeight="false" outlineLevel="0" collapsed="false">
      <c r="A5" s="6" t="s">
        <v>13</v>
      </c>
      <c r="B5" s="7" t="n">
        <f aca="false">B4*(1+Assumptions!$B$4)</f>
        <v>90100</v>
      </c>
      <c r="C5" s="7" t="n">
        <f aca="false">B5</f>
        <v>90100</v>
      </c>
      <c r="D5" s="7" t="n">
        <f aca="false">C5*Assumptions!$B$5</f>
        <v>70278</v>
      </c>
      <c r="E5" s="8" t="n">
        <f aca="false">D5/C5</f>
        <v>0.78</v>
      </c>
    </row>
    <row r="6" customFormat="false" ht="15" hidden="false" customHeight="false" outlineLevel="0" collapsed="false">
      <c r="A6" s="6" t="s">
        <v>14</v>
      </c>
      <c r="B6" s="7" t="n">
        <f aca="false">B5*(1+Assumptions!$B$4)</f>
        <v>95506</v>
      </c>
      <c r="C6" s="7" t="n">
        <f aca="false">B6</f>
        <v>95506</v>
      </c>
      <c r="D6" s="7" t="n">
        <f aca="false">C6*Assumptions!$B$5</f>
        <v>74494.68</v>
      </c>
      <c r="E6" s="8" t="n">
        <f aca="false">D6/C6</f>
        <v>0.78</v>
      </c>
    </row>
    <row r="7" customFormat="false" ht="15" hidden="false" customHeight="false" outlineLevel="0" collapsed="false">
      <c r="A7" s="6" t="s">
        <v>15</v>
      </c>
      <c r="B7" s="7" t="n">
        <f aca="false">B6*(1+Assumptions!$B$4)</f>
        <v>101236.36</v>
      </c>
      <c r="C7" s="7" t="n">
        <f aca="false">B7</f>
        <v>101236.36</v>
      </c>
      <c r="D7" s="7" t="n">
        <f aca="false">C7*Assumptions!$B$5</f>
        <v>78964.3608</v>
      </c>
      <c r="E7" s="8" t="n">
        <f aca="false">D7/C7</f>
        <v>0.78</v>
      </c>
    </row>
    <row r="8" customFormat="false" ht="15" hidden="false" customHeight="false" outlineLevel="0" collapsed="false">
      <c r="A8" s="6" t="s">
        <v>16</v>
      </c>
      <c r="B8" s="7" t="n">
        <f aca="false">B7*(1+Assumptions!$B$4)</f>
        <v>107310.5416</v>
      </c>
      <c r="C8" s="7" t="n">
        <f aca="false">B8</f>
        <v>107310.5416</v>
      </c>
      <c r="D8" s="7" t="n">
        <f aca="false">C8*Assumptions!$B$5</f>
        <v>83702.222448</v>
      </c>
      <c r="E8" s="8" t="n">
        <f aca="false">D8/C8</f>
        <v>0.78</v>
      </c>
    </row>
    <row r="9" customFormat="false" ht="15" hidden="false" customHeight="false" outlineLevel="0" collapsed="false">
      <c r="A9" s="6" t="s">
        <v>17</v>
      </c>
      <c r="B9" s="7" t="n">
        <f aca="false">B8*(1+Assumptions!$B$4)</f>
        <v>113749.174096</v>
      </c>
      <c r="C9" s="7" t="n">
        <f aca="false">B9</f>
        <v>113749.174096</v>
      </c>
      <c r="D9" s="7" t="n">
        <f aca="false">C9*Assumptions!$B$5</f>
        <v>88724.35579488</v>
      </c>
      <c r="E9" s="8" t="n">
        <f aca="false">D9/C9</f>
        <v>0.78</v>
      </c>
    </row>
    <row r="10" customFormat="false" ht="15" hidden="false" customHeight="false" outlineLevel="0" collapsed="false">
      <c r="A10" s="6" t="s">
        <v>18</v>
      </c>
      <c r="B10" s="7" t="n">
        <f aca="false">B9*(1+Assumptions!$B$4)</f>
        <v>120574.12454176</v>
      </c>
      <c r="C10" s="7" t="n">
        <f aca="false">B10</f>
        <v>120574.12454176</v>
      </c>
      <c r="D10" s="7" t="n">
        <f aca="false">C10*Assumptions!$B$5</f>
        <v>94047.8171425728</v>
      </c>
      <c r="E10" s="8" t="n">
        <f aca="false">D10/C10</f>
        <v>0.78</v>
      </c>
    </row>
    <row r="11" customFormat="false" ht="15" hidden="false" customHeight="false" outlineLevel="0" collapsed="false">
      <c r="A11" s="6" t="s">
        <v>19</v>
      </c>
      <c r="B11" s="7" t="n">
        <f aca="false">B10*(1+Assumptions!$B$4)</f>
        <v>127808.572014266</v>
      </c>
      <c r="C11" s="7" t="n">
        <f aca="false">B11</f>
        <v>127808.572014266</v>
      </c>
      <c r="D11" s="7" t="n">
        <f aca="false">C11*Assumptions!$B$5</f>
        <v>99690.6861711272</v>
      </c>
      <c r="E11" s="8" t="n">
        <f aca="false">D11/C11</f>
        <v>0.78</v>
      </c>
    </row>
    <row r="12" customFormat="false" ht="15" hidden="false" customHeight="false" outlineLevel="0" collapsed="false">
      <c r="A12" s="6" t="s">
        <v>20</v>
      </c>
      <c r="B12" s="7" t="n">
        <f aca="false">B11*(1+Assumptions!$B$4)</f>
        <v>135477.086335122</v>
      </c>
      <c r="C12" s="7" t="n">
        <f aca="false">B12</f>
        <v>135477.086335122</v>
      </c>
      <c r="D12" s="7" t="n">
        <f aca="false">C12*Assumptions!$B$5</f>
        <v>105672.127341395</v>
      </c>
      <c r="E12" s="8" t="n">
        <f aca="false">D12/C12</f>
        <v>0.78</v>
      </c>
    </row>
    <row r="13" customFormat="false" ht="15" hidden="false" customHeight="false" outlineLevel="0" collapsed="false">
      <c r="A13" s="6" t="s">
        <v>21</v>
      </c>
      <c r="B13" s="7" t="n">
        <f aca="false">B12*(1+Assumptions!$B$4)</f>
        <v>143605.711515229</v>
      </c>
      <c r="C13" s="7" t="n">
        <f aca="false">B13</f>
        <v>143605.711515229</v>
      </c>
      <c r="D13" s="7" t="n">
        <f aca="false">C13*Assumptions!$B$5</f>
        <v>112012.454981879</v>
      </c>
      <c r="E13" s="8" t="n">
        <f aca="false">D13/C13</f>
        <v>0.78</v>
      </c>
    </row>
    <row r="14" customFormat="false" ht="15" hidden="false" customHeight="false" outlineLevel="0" collapsed="false">
      <c r="A14" s="6" t="s">
        <v>22</v>
      </c>
      <c r="B14" s="7" t="n">
        <f aca="false">B13*(1+Assumptions!$B$4)</f>
        <v>152222.054206143</v>
      </c>
      <c r="C14" s="7" t="n">
        <f aca="false">B14</f>
        <v>152222.054206143</v>
      </c>
      <c r="D14" s="7" t="n">
        <f aca="false">C14*Assumptions!$B$5</f>
        <v>118733.202280791</v>
      </c>
      <c r="E14" s="8" t="n">
        <f aca="false">D14/C14</f>
        <v>0.78</v>
      </c>
    </row>
    <row r="15" customFormat="false" ht="15" hidden="false" customHeight="false" outlineLevel="0" collapsed="false">
      <c r="A15" s="6" t="s">
        <v>23</v>
      </c>
      <c r="B15" s="7" t="n">
        <f aca="false">B14*(1+Assumptions!$B$4)</f>
        <v>161355.377458511</v>
      </c>
      <c r="C15" s="7" t="n">
        <f aca="false">B15</f>
        <v>161355.377458511</v>
      </c>
      <c r="D15" s="7" t="n">
        <f aca="false">C15*Assumptions!$B$5</f>
        <v>125857.194417639</v>
      </c>
      <c r="E15" s="8" t="n">
        <f aca="false">D15/C15</f>
        <v>0.78</v>
      </c>
    </row>
    <row r="16" customFormat="false" ht="15" hidden="false" customHeight="false" outlineLevel="0" collapsed="false">
      <c r="A16" s="9" t="s">
        <v>24</v>
      </c>
      <c r="B16" s="10"/>
      <c r="C16" s="11" t="n">
        <f aca="false">SUM(C4:C15)</f>
        <v>1433945.00176703</v>
      </c>
      <c r="D16" s="11" t="n">
        <f aca="false">SUM(D4:D15)</f>
        <v>1118477.10137828</v>
      </c>
      <c r="E16" s="12" t="n">
        <f aca="false">D16/C16</f>
        <v>0.78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